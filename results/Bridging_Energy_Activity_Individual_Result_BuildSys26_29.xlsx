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" sheetId="1" r:id="rId5"/>
    <sheet state="visible" name="week" sheetId="2" r:id="rId6"/>
    <sheet state="visible" name="month" sheetId="3" r:id="rId7"/>
  </sheets>
  <definedNames/>
  <calcPr/>
</workbook>
</file>

<file path=xl/sharedStrings.xml><?xml version="1.0" encoding="utf-8"?>
<sst xmlns="http://schemas.openxmlformats.org/spreadsheetml/2006/main" count="72" uniqueCount="20">
  <si>
    <t xml:space="preserve">1-Day Forecast (temporal historical data only) </t>
  </si>
  <si>
    <r>
      <rPr>
        <rFont val="Calibri"/>
        <color theme="1"/>
        <sz val="11.0"/>
      </rPr>
      <t xml:space="preserve">1-Day Forecast </t>
    </r>
    <r>
      <rPr>
        <rFont val="Calibri"/>
        <b/>
        <color theme="1"/>
        <sz val="11.0"/>
      </rPr>
      <t>With</t>
    </r>
    <r>
      <rPr>
        <rFont val="Calibri"/>
        <color theme="1"/>
        <sz val="11.0"/>
      </rPr>
      <t xml:space="preserve"> Environmental</t>
    </r>
  </si>
  <si>
    <r>
      <rPr>
        <rFont val="Calibri"/>
        <color theme="1"/>
        <sz val="11.0"/>
      </rPr>
      <t xml:space="preserve">1-Day Forecast </t>
    </r>
    <r>
      <rPr>
        <rFont val="Calibri"/>
        <b/>
        <color theme="1"/>
        <sz val="11.0"/>
      </rPr>
      <t>With</t>
    </r>
    <r>
      <rPr>
        <rFont val="Calibri"/>
        <color theme="1"/>
        <sz val="11.0"/>
      </rPr>
      <t xml:space="preserve"> Behavioral</t>
    </r>
  </si>
  <si>
    <r>
      <rPr>
        <rFont val="Calibri"/>
        <color theme="1"/>
        <sz val="11.0"/>
      </rPr>
      <t xml:space="preserve">1-Day Forecast </t>
    </r>
    <r>
      <rPr>
        <rFont val="Calibri"/>
        <b/>
        <color theme="1"/>
        <sz val="11.0"/>
      </rPr>
      <t>Witht</t>
    </r>
    <r>
      <rPr>
        <rFont val="Calibri"/>
        <color theme="1"/>
        <sz val="11.0"/>
      </rPr>
      <t xml:space="preserve"> Environmental and Behavioral</t>
    </r>
  </si>
  <si>
    <t>Particpant</t>
  </si>
  <si>
    <t>Row_count</t>
  </si>
  <si>
    <t>XGBoost</t>
  </si>
  <si>
    <t>Ridge</t>
  </si>
  <si>
    <t>LSTM</t>
  </si>
  <si>
    <t>CNN-LSTM</t>
  </si>
  <si>
    <t>avr.</t>
  </si>
  <si>
    <t>stdev.</t>
  </si>
  <si>
    <t>1-Week Forecast (temporal historical data only)</t>
  </si>
  <si>
    <r>
      <rPr>
        <rFont val="Calibri"/>
        <color theme="1"/>
        <sz val="11.0"/>
      </rPr>
      <t xml:space="preserve">1-Week Forecast </t>
    </r>
    <r>
      <rPr>
        <rFont val="Calibri"/>
        <b/>
        <color theme="1"/>
        <sz val="11.0"/>
      </rPr>
      <t>With</t>
    </r>
    <r>
      <rPr>
        <rFont val="Calibri"/>
        <color theme="1"/>
        <sz val="11.0"/>
      </rPr>
      <t xml:space="preserve"> Environmental</t>
    </r>
  </si>
  <si>
    <r>
      <rPr>
        <rFont val="Calibri"/>
        <color theme="1"/>
        <sz val="11.0"/>
      </rPr>
      <t xml:space="preserve">1-Week Forecast </t>
    </r>
    <r>
      <rPr>
        <rFont val="Calibri"/>
        <b/>
        <color theme="1"/>
        <sz val="11.0"/>
      </rPr>
      <t>With</t>
    </r>
    <r>
      <rPr>
        <rFont val="Calibri"/>
        <color theme="1"/>
        <sz val="11.0"/>
      </rPr>
      <t xml:space="preserve"> Behavioral</t>
    </r>
  </si>
  <si>
    <r>
      <rPr>
        <rFont val="Calibri"/>
        <color theme="1"/>
        <sz val="11.0"/>
      </rPr>
      <t xml:space="preserve">1-Week Forecast </t>
    </r>
    <r>
      <rPr>
        <rFont val="Calibri"/>
        <b/>
        <color theme="1"/>
        <sz val="11.0"/>
      </rPr>
      <t>Witht</t>
    </r>
    <r>
      <rPr>
        <rFont val="Calibri"/>
        <color theme="1"/>
        <sz val="11.0"/>
      </rPr>
      <t xml:space="preserve"> Environmental and Behavioral</t>
    </r>
  </si>
  <si>
    <t xml:space="preserve">1-Month Forecast (temporal historical data only) </t>
  </si>
  <si>
    <r>
      <rPr>
        <rFont val="Calibri"/>
        <color theme="1"/>
        <sz val="11.0"/>
      </rPr>
      <t xml:space="preserve">1-Month Forecast </t>
    </r>
    <r>
      <rPr>
        <rFont val="Calibri"/>
        <b/>
        <color theme="1"/>
        <sz val="11.0"/>
      </rPr>
      <t>With</t>
    </r>
    <r>
      <rPr>
        <rFont val="Calibri"/>
        <color theme="1"/>
        <sz val="11.0"/>
      </rPr>
      <t xml:space="preserve"> Environmental</t>
    </r>
  </si>
  <si>
    <r>
      <rPr>
        <rFont val="Calibri"/>
        <color theme="1"/>
        <sz val="11.0"/>
      </rPr>
      <t xml:space="preserve">1-Month Forecast </t>
    </r>
    <r>
      <rPr>
        <rFont val="Calibri"/>
        <b/>
        <color theme="1"/>
        <sz val="11.0"/>
      </rPr>
      <t>With</t>
    </r>
    <r>
      <rPr>
        <rFont val="Calibri"/>
        <color theme="1"/>
        <sz val="11.0"/>
      </rPr>
      <t xml:space="preserve"> Behavioral</t>
    </r>
  </si>
  <si>
    <r>
      <rPr>
        <rFont val="Calibri"/>
        <color theme="1"/>
        <sz val="11.0"/>
      </rPr>
      <t xml:space="preserve">1-Month Forecast </t>
    </r>
    <r>
      <rPr>
        <rFont val="Calibri"/>
        <b/>
        <color theme="1"/>
        <sz val="11.0"/>
      </rPr>
      <t xml:space="preserve">With </t>
    </r>
    <r>
      <rPr>
        <rFont val="Calibri"/>
        <color theme="1"/>
        <sz val="11.0"/>
      </rPr>
      <t>Environmental and Behavioral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</si>
</sst>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1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vertical="top"/>
    </xf>
    <xf borderId="4" fillId="0" fontId="4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 vertical="top"/>
    </xf>
    <xf borderId="6" fillId="0" fontId="4" numFmtId="0" xfId="0" applyAlignment="1" applyBorder="1" applyFont="1">
      <alignment horizontal="center" readingOrder="0" vertical="top"/>
    </xf>
    <xf borderId="6" fillId="0" fontId="4" numFmtId="0" xfId="0" applyAlignment="1" applyBorder="1" applyFont="1">
      <alignment horizontal="center" vertical="top"/>
    </xf>
    <xf borderId="7" fillId="0" fontId="4" numFmtId="0" xfId="0" applyAlignment="1" applyBorder="1" applyFont="1">
      <alignment horizontal="center" vertical="top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center" vertical="top"/>
    </xf>
    <xf borderId="1" fillId="0" fontId="2" numFmtId="4" xfId="0" applyAlignment="1" applyBorder="1" applyFont="1" applyNumberFormat="1">
      <alignment horizontal="center" readingOrder="0" vertical="bottom"/>
    </xf>
    <xf borderId="0" fillId="0" fontId="2" numFmtId="4" xfId="0" applyAlignment="1" applyFont="1" applyNumberFormat="1">
      <alignment horizontal="center" readingOrder="0" vertical="bottom"/>
    </xf>
    <xf borderId="2" fillId="0" fontId="2" numFmtId="4" xfId="0" applyAlignment="1" applyBorder="1" applyFont="1" applyNumberFormat="1">
      <alignment horizontal="center" readingOrder="0" vertical="bottom"/>
    </xf>
    <xf borderId="1" fillId="0" fontId="2" numFmtId="4" xfId="0" applyAlignment="1" applyBorder="1" applyFont="1" applyNumberForma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2" fillId="0" fontId="2" numFmtId="4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readingOrder="0" vertical="top"/>
    </xf>
    <xf borderId="8" fillId="0" fontId="2" numFmtId="0" xfId="0" applyAlignment="1" applyBorder="1" applyFont="1">
      <alignment vertical="bottom"/>
    </xf>
    <xf borderId="9" fillId="0" fontId="3" numFmtId="0" xfId="0" applyBorder="1" applyFont="1"/>
    <xf borderId="10" fillId="0" fontId="2" numFmtId="4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F1" s="3"/>
      <c r="G1" s="2" t="s">
        <v>1</v>
      </c>
      <c r="J1" s="3"/>
      <c r="K1" s="2" t="s">
        <v>2</v>
      </c>
      <c r="N1" s="3"/>
      <c r="O1" s="4" t="s">
        <v>3</v>
      </c>
      <c r="R1" s="3"/>
    </row>
    <row r="2">
      <c r="A2" s="5" t="s">
        <v>4</v>
      </c>
      <c r="B2" s="6" t="s">
        <v>5</v>
      </c>
      <c r="C2" s="7" t="s">
        <v>6</v>
      </c>
      <c r="D2" s="8" t="s">
        <v>7</v>
      </c>
      <c r="E2" s="9" t="s">
        <v>8</v>
      </c>
      <c r="F2" s="10" t="s">
        <v>9</v>
      </c>
      <c r="G2" s="7" t="s">
        <v>6</v>
      </c>
      <c r="H2" s="8" t="s">
        <v>7</v>
      </c>
      <c r="I2" s="9" t="s">
        <v>8</v>
      </c>
      <c r="J2" s="10" t="s">
        <v>9</v>
      </c>
      <c r="K2" s="7" t="s">
        <v>6</v>
      </c>
      <c r="L2" s="8" t="s">
        <v>7</v>
      </c>
      <c r="M2" s="9" t="s">
        <v>8</v>
      </c>
      <c r="N2" s="10" t="s">
        <v>9</v>
      </c>
      <c r="O2" s="7" t="s">
        <v>6</v>
      </c>
      <c r="P2" s="9" t="s">
        <v>7</v>
      </c>
      <c r="Q2" s="9" t="s">
        <v>8</v>
      </c>
      <c r="R2" s="10" t="s">
        <v>9</v>
      </c>
    </row>
    <row r="3">
      <c r="A3" s="11">
        <v>1.0</v>
      </c>
      <c r="B3" s="12">
        <v>9003.0</v>
      </c>
      <c r="C3" s="13">
        <v>28.071</v>
      </c>
      <c r="D3" s="14">
        <v>36.422</v>
      </c>
      <c r="E3" s="14">
        <v>34.217</v>
      </c>
      <c r="F3" s="15">
        <v>31.295</v>
      </c>
      <c r="G3" s="13">
        <v>24.31</v>
      </c>
      <c r="H3" s="14">
        <v>34.573</v>
      </c>
      <c r="I3" s="14">
        <v>30.97</v>
      </c>
      <c r="J3" s="15">
        <v>28.384</v>
      </c>
      <c r="K3" s="13">
        <v>23.01</v>
      </c>
      <c r="L3" s="14">
        <v>31.478</v>
      </c>
      <c r="M3" s="14">
        <v>29.36</v>
      </c>
      <c r="N3" s="15">
        <v>24.633</v>
      </c>
      <c r="O3" s="16">
        <v>22.526</v>
      </c>
      <c r="P3" s="17">
        <v>31.738</v>
      </c>
      <c r="Q3" s="17">
        <v>28.565</v>
      </c>
      <c r="R3" s="18">
        <v>25.278</v>
      </c>
    </row>
    <row r="4">
      <c r="A4" s="11">
        <v>3.0</v>
      </c>
      <c r="B4" s="19">
        <v>16313.0</v>
      </c>
      <c r="C4" s="13">
        <v>27.432</v>
      </c>
      <c r="D4" s="14">
        <v>32.774</v>
      </c>
      <c r="E4" s="14">
        <v>30.416</v>
      </c>
      <c r="F4" s="15">
        <v>29.793</v>
      </c>
      <c r="G4" s="13">
        <v>23.681</v>
      </c>
      <c r="H4" s="14">
        <v>32.076</v>
      </c>
      <c r="I4" s="14">
        <v>27.794</v>
      </c>
      <c r="J4" s="15">
        <v>25.293</v>
      </c>
      <c r="K4" s="13">
        <v>23.493</v>
      </c>
      <c r="L4" s="14">
        <v>29.254</v>
      </c>
      <c r="M4" s="14">
        <v>27.215</v>
      </c>
      <c r="N4" s="15">
        <v>27.377</v>
      </c>
      <c r="O4" s="16">
        <v>22.815</v>
      </c>
      <c r="P4" s="17">
        <v>28.937</v>
      </c>
      <c r="Q4" s="17">
        <v>27.058</v>
      </c>
      <c r="R4" s="18">
        <v>26.513</v>
      </c>
    </row>
    <row r="5">
      <c r="A5" s="11">
        <v>4.0</v>
      </c>
      <c r="B5" s="19">
        <v>3040.0</v>
      </c>
      <c r="C5" s="13">
        <v>22.264</v>
      </c>
      <c r="D5" s="14">
        <v>30.192</v>
      </c>
      <c r="E5" s="14">
        <v>30.078</v>
      </c>
      <c r="F5" s="15">
        <v>26.134</v>
      </c>
      <c r="G5" s="13">
        <v>17.282</v>
      </c>
      <c r="H5" s="14">
        <v>28.211</v>
      </c>
      <c r="I5" s="14">
        <v>25.324</v>
      </c>
      <c r="J5" s="15">
        <v>21.678</v>
      </c>
      <c r="K5" s="13">
        <v>16.037</v>
      </c>
      <c r="L5" s="14">
        <v>27.306</v>
      </c>
      <c r="M5" s="14">
        <v>26.624</v>
      </c>
      <c r="N5" s="15">
        <v>18.048</v>
      </c>
      <c r="O5" s="16">
        <v>15.546</v>
      </c>
      <c r="P5" s="17">
        <v>26.96</v>
      </c>
      <c r="Q5" s="17">
        <v>24.43</v>
      </c>
      <c r="R5" s="18">
        <v>19.62</v>
      </c>
    </row>
    <row r="6">
      <c r="A6" s="11">
        <v>5.0</v>
      </c>
      <c r="B6" s="19">
        <v>8753.0</v>
      </c>
      <c r="C6" s="13">
        <v>32.617</v>
      </c>
      <c r="D6" s="14">
        <v>52.774</v>
      </c>
      <c r="E6" s="14">
        <v>49.532</v>
      </c>
      <c r="F6" s="15">
        <v>34.113</v>
      </c>
      <c r="G6" s="13">
        <v>27.42</v>
      </c>
      <c r="H6" s="14">
        <v>52.482</v>
      </c>
      <c r="I6" s="14">
        <v>40.585</v>
      </c>
      <c r="J6" s="15">
        <v>30.819</v>
      </c>
      <c r="K6" s="13">
        <v>27.324</v>
      </c>
      <c r="L6" s="14">
        <v>40.475</v>
      </c>
      <c r="M6" s="14">
        <v>37.013</v>
      </c>
      <c r="N6" s="15">
        <v>33.118</v>
      </c>
      <c r="O6" s="16">
        <v>25.664</v>
      </c>
      <c r="P6" s="17">
        <v>40.666</v>
      </c>
      <c r="Q6" s="17">
        <v>34.011</v>
      </c>
      <c r="R6" s="18">
        <v>29.58</v>
      </c>
    </row>
    <row r="7">
      <c r="A7" s="11">
        <v>6.0</v>
      </c>
      <c r="B7" s="19">
        <v>8608.0</v>
      </c>
      <c r="C7" s="13">
        <v>13.182</v>
      </c>
      <c r="D7" s="14">
        <v>21.525</v>
      </c>
      <c r="E7" s="14">
        <v>21.589</v>
      </c>
      <c r="F7" s="15">
        <v>15.971</v>
      </c>
      <c r="G7" s="13">
        <v>11.1</v>
      </c>
      <c r="H7" s="14">
        <v>21.517</v>
      </c>
      <c r="I7" s="14">
        <v>16.45</v>
      </c>
      <c r="J7" s="15">
        <v>11.436</v>
      </c>
      <c r="K7" s="13">
        <v>10.394</v>
      </c>
      <c r="L7" s="14">
        <v>16.343</v>
      </c>
      <c r="M7" s="14">
        <v>15.446</v>
      </c>
      <c r="N7" s="15">
        <v>15.196</v>
      </c>
      <c r="O7" s="16">
        <v>10.18</v>
      </c>
      <c r="P7" s="17">
        <v>16.337</v>
      </c>
      <c r="Q7" s="17">
        <v>15.146</v>
      </c>
      <c r="R7" s="18">
        <v>14.046</v>
      </c>
    </row>
    <row r="8">
      <c r="A8" s="11">
        <v>7.0</v>
      </c>
      <c r="B8" s="19">
        <v>8524.0</v>
      </c>
      <c r="C8" s="13">
        <v>14.676</v>
      </c>
      <c r="D8" s="14">
        <v>21.836</v>
      </c>
      <c r="E8" s="14">
        <v>19.108</v>
      </c>
      <c r="F8" s="15">
        <v>16.284</v>
      </c>
      <c r="G8" s="13">
        <v>11.552</v>
      </c>
      <c r="H8" s="14">
        <v>20.439</v>
      </c>
      <c r="I8" s="14">
        <v>15.606</v>
      </c>
      <c r="J8" s="15">
        <v>12.752</v>
      </c>
      <c r="K8" s="13">
        <v>11.252</v>
      </c>
      <c r="L8" s="14">
        <v>16.873</v>
      </c>
      <c r="M8" s="14">
        <v>15.007</v>
      </c>
      <c r="N8" s="15">
        <v>14.216</v>
      </c>
      <c r="O8" s="16">
        <v>10.854</v>
      </c>
      <c r="P8" s="17">
        <v>16.856</v>
      </c>
      <c r="Q8" s="17">
        <v>14.422</v>
      </c>
      <c r="R8" s="18">
        <v>12.773</v>
      </c>
    </row>
    <row r="9">
      <c r="A9" s="11">
        <v>8.0</v>
      </c>
      <c r="B9" s="19">
        <v>9080.0</v>
      </c>
      <c r="C9" s="13">
        <v>14.113</v>
      </c>
      <c r="D9" s="14">
        <v>25.172</v>
      </c>
      <c r="E9" s="14">
        <v>18.91</v>
      </c>
      <c r="F9" s="15">
        <v>15.573</v>
      </c>
      <c r="G9" s="13">
        <v>10.944</v>
      </c>
      <c r="H9" s="14">
        <v>24.847</v>
      </c>
      <c r="I9" s="14">
        <v>16.031</v>
      </c>
      <c r="J9" s="15">
        <v>12.416</v>
      </c>
      <c r="K9" s="13">
        <v>10.467</v>
      </c>
      <c r="L9" s="14">
        <v>15.666</v>
      </c>
      <c r="M9" s="14">
        <v>14.899</v>
      </c>
      <c r="N9" s="15">
        <v>14.098</v>
      </c>
      <c r="O9" s="16">
        <v>10.08</v>
      </c>
      <c r="P9" s="17">
        <v>15.902</v>
      </c>
      <c r="Q9" s="17">
        <v>14.8</v>
      </c>
      <c r="R9" s="18">
        <v>12.639</v>
      </c>
    </row>
    <row r="10">
      <c r="A10" s="11">
        <v>9.0</v>
      </c>
      <c r="B10" s="19">
        <v>15938.0</v>
      </c>
      <c r="C10" s="13">
        <v>18.656</v>
      </c>
      <c r="D10" s="14">
        <v>28.911</v>
      </c>
      <c r="E10" s="14">
        <v>21.255</v>
      </c>
      <c r="F10" s="15">
        <v>20.164</v>
      </c>
      <c r="G10" s="13">
        <v>15.722</v>
      </c>
      <c r="H10" s="14">
        <v>26.941</v>
      </c>
      <c r="I10" s="14">
        <v>20.371</v>
      </c>
      <c r="J10" s="15">
        <v>17.705</v>
      </c>
      <c r="K10" s="13">
        <v>14.828</v>
      </c>
      <c r="L10" s="14">
        <v>20.252</v>
      </c>
      <c r="M10" s="14">
        <v>18.37</v>
      </c>
      <c r="N10" s="15">
        <v>16.116</v>
      </c>
      <c r="O10" s="16">
        <v>14.362</v>
      </c>
      <c r="P10" s="17">
        <v>20.548</v>
      </c>
      <c r="Q10" s="17">
        <v>16.455</v>
      </c>
      <c r="R10" s="18">
        <v>15.527</v>
      </c>
    </row>
    <row r="11">
      <c r="A11" s="11">
        <v>10.0</v>
      </c>
      <c r="B11" s="19">
        <v>6264.0</v>
      </c>
      <c r="C11" s="13">
        <v>18.779</v>
      </c>
      <c r="D11" s="14">
        <v>30.973</v>
      </c>
      <c r="E11" s="14">
        <v>28.409</v>
      </c>
      <c r="F11" s="15">
        <v>21.086</v>
      </c>
      <c r="G11" s="13">
        <v>14.231</v>
      </c>
      <c r="H11" s="14">
        <v>29.909</v>
      </c>
      <c r="I11" s="14">
        <v>21.61</v>
      </c>
      <c r="J11" s="15">
        <v>15.712</v>
      </c>
      <c r="K11" s="13">
        <v>13.403</v>
      </c>
      <c r="L11" s="14">
        <v>21.558</v>
      </c>
      <c r="M11" s="14">
        <v>20.239</v>
      </c>
      <c r="N11" s="15">
        <v>16.226</v>
      </c>
      <c r="O11" s="16">
        <v>16.908</v>
      </c>
      <c r="P11" s="17">
        <v>19.707</v>
      </c>
      <c r="Q11" s="17">
        <v>18.697</v>
      </c>
      <c r="R11" s="18">
        <v>14.822</v>
      </c>
    </row>
    <row r="12">
      <c r="A12" s="11">
        <v>11.0</v>
      </c>
      <c r="B12" s="19">
        <v>8572.0</v>
      </c>
      <c r="C12" s="13">
        <v>26.459</v>
      </c>
      <c r="D12" s="14">
        <v>35.925</v>
      </c>
      <c r="E12" s="14">
        <v>30.827</v>
      </c>
      <c r="F12" s="15">
        <v>29.462</v>
      </c>
      <c r="G12" s="13">
        <v>21.908</v>
      </c>
      <c r="H12" s="14">
        <v>31.047</v>
      </c>
      <c r="I12" s="14">
        <v>31.163</v>
      </c>
      <c r="J12" s="15">
        <v>24.971</v>
      </c>
      <c r="K12" s="13">
        <v>21.178</v>
      </c>
      <c r="L12" s="14">
        <v>28.948</v>
      </c>
      <c r="M12" s="14">
        <v>28.097</v>
      </c>
      <c r="N12" s="15">
        <v>22.175</v>
      </c>
      <c r="O12" s="16">
        <v>20.435</v>
      </c>
      <c r="P12" s="17">
        <v>28.996</v>
      </c>
      <c r="Q12" s="17">
        <v>25.831</v>
      </c>
      <c r="R12" s="18">
        <v>22.729</v>
      </c>
    </row>
    <row r="13">
      <c r="A13" s="11">
        <v>12.0</v>
      </c>
      <c r="B13" s="19">
        <v>3312.0</v>
      </c>
      <c r="C13" s="13">
        <v>16.301</v>
      </c>
      <c r="D13" s="14">
        <v>27.014</v>
      </c>
      <c r="E13" s="14">
        <v>23.076</v>
      </c>
      <c r="F13" s="14">
        <v>20.097</v>
      </c>
      <c r="G13" s="13">
        <v>10.796</v>
      </c>
      <c r="H13" s="14">
        <v>25.571</v>
      </c>
      <c r="I13" s="14">
        <v>22.341</v>
      </c>
      <c r="J13" s="15">
        <v>13.018</v>
      </c>
      <c r="K13" s="13">
        <v>8.779</v>
      </c>
      <c r="L13" s="14">
        <v>22.047</v>
      </c>
      <c r="M13" s="14">
        <v>18.606</v>
      </c>
      <c r="N13" s="15">
        <v>12.459</v>
      </c>
      <c r="O13" s="16">
        <v>8.848</v>
      </c>
      <c r="P13" s="17">
        <v>22.182</v>
      </c>
      <c r="Q13" s="17">
        <v>20.633</v>
      </c>
      <c r="R13" s="18">
        <v>13.373</v>
      </c>
    </row>
    <row r="14">
      <c r="A14" s="11">
        <v>14.0</v>
      </c>
      <c r="B14" s="19">
        <v>9144.0</v>
      </c>
      <c r="C14" s="13">
        <v>13.562</v>
      </c>
      <c r="D14" s="14">
        <v>20.913</v>
      </c>
      <c r="E14" s="14">
        <v>21.426</v>
      </c>
      <c r="F14" s="15">
        <v>16.654</v>
      </c>
      <c r="G14" s="13">
        <v>11.916</v>
      </c>
      <c r="H14" s="14">
        <v>19.979</v>
      </c>
      <c r="I14" s="14">
        <v>17.9</v>
      </c>
      <c r="J14" s="15">
        <v>14.747</v>
      </c>
      <c r="K14" s="13">
        <v>11.029</v>
      </c>
      <c r="L14" s="14">
        <v>15.814</v>
      </c>
      <c r="M14" s="14">
        <v>15.1</v>
      </c>
      <c r="N14" s="15">
        <v>13.705</v>
      </c>
      <c r="O14" s="16">
        <v>10.821</v>
      </c>
      <c r="P14" s="17">
        <v>15.843</v>
      </c>
      <c r="Q14" s="17">
        <v>13.129</v>
      </c>
      <c r="R14" s="18">
        <v>12.971</v>
      </c>
    </row>
    <row r="15">
      <c r="A15" s="11">
        <v>15.0</v>
      </c>
      <c r="B15" s="19">
        <v>8566.0</v>
      </c>
      <c r="C15" s="13">
        <v>12.803</v>
      </c>
      <c r="D15" s="14">
        <v>13.928</v>
      </c>
      <c r="E15" s="14">
        <v>14.523</v>
      </c>
      <c r="F15" s="15">
        <v>13.274</v>
      </c>
      <c r="G15" s="13">
        <v>9.466</v>
      </c>
      <c r="H15" s="14">
        <v>15.438</v>
      </c>
      <c r="I15" s="14">
        <v>11.693</v>
      </c>
      <c r="J15" s="15">
        <v>12.506</v>
      </c>
      <c r="K15" s="13">
        <v>8.938</v>
      </c>
      <c r="L15" s="14">
        <v>14.082</v>
      </c>
      <c r="M15" s="14">
        <v>12.207</v>
      </c>
      <c r="N15" s="15">
        <v>11.596</v>
      </c>
      <c r="O15" s="16">
        <v>8.651</v>
      </c>
      <c r="P15" s="17">
        <v>14.126</v>
      </c>
      <c r="Q15" s="17">
        <v>12.586</v>
      </c>
      <c r="R15" s="18">
        <v>12.487</v>
      </c>
    </row>
    <row r="16">
      <c r="A16" s="11">
        <v>17.0</v>
      </c>
      <c r="B16" s="19">
        <v>9112.0</v>
      </c>
      <c r="C16" s="13">
        <v>11.862</v>
      </c>
      <c r="D16" s="14">
        <v>17.429</v>
      </c>
      <c r="E16" s="14">
        <v>17.683</v>
      </c>
      <c r="F16" s="15">
        <v>14.053</v>
      </c>
      <c r="G16" s="13">
        <v>10.376</v>
      </c>
      <c r="H16" s="14">
        <v>17.32</v>
      </c>
      <c r="I16" s="14">
        <v>16.161</v>
      </c>
      <c r="J16" s="15">
        <v>12.938</v>
      </c>
      <c r="K16" s="13">
        <v>8.426</v>
      </c>
      <c r="L16" s="14">
        <v>13.367</v>
      </c>
      <c r="M16" s="14">
        <v>12.207</v>
      </c>
      <c r="N16" s="15">
        <v>11.384</v>
      </c>
      <c r="O16" s="16">
        <v>8.395</v>
      </c>
      <c r="P16" s="17">
        <v>13.399</v>
      </c>
      <c r="Q16" s="17">
        <v>12.034</v>
      </c>
      <c r="R16" s="18">
        <v>10.638</v>
      </c>
    </row>
    <row r="17">
      <c r="A17" s="20" t="s">
        <v>10</v>
      </c>
      <c r="B17" s="21"/>
      <c r="C17" s="22">
        <f t="shared" ref="C17:R17" si="1">AVERAGE(C3:C16)</f>
        <v>19.34121429</v>
      </c>
      <c r="D17" s="22">
        <f t="shared" si="1"/>
        <v>28.27057143</v>
      </c>
      <c r="E17" s="22">
        <f t="shared" si="1"/>
        <v>25.78921429</v>
      </c>
      <c r="F17" s="22">
        <f t="shared" si="1"/>
        <v>21.71092857</v>
      </c>
      <c r="G17" s="22">
        <f t="shared" si="1"/>
        <v>15.76457143</v>
      </c>
      <c r="H17" s="22">
        <f t="shared" si="1"/>
        <v>27.16785714</v>
      </c>
      <c r="I17" s="22">
        <f t="shared" si="1"/>
        <v>22.4285</v>
      </c>
      <c r="J17" s="22">
        <f t="shared" si="1"/>
        <v>18.16964286</v>
      </c>
      <c r="K17" s="22">
        <f t="shared" si="1"/>
        <v>14.897</v>
      </c>
      <c r="L17" s="22">
        <f t="shared" si="1"/>
        <v>22.39021429</v>
      </c>
      <c r="M17" s="22">
        <f t="shared" si="1"/>
        <v>20.74214286</v>
      </c>
      <c r="N17" s="22">
        <f t="shared" si="1"/>
        <v>17.88192857</v>
      </c>
      <c r="O17" s="22">
        <f t="shared" si="1"/>
        <v>14.72035714</v>
      </c>
      <c r="P17" s="22">
        <f t="shared" si="1"/>
        <v>22.29978571</v>
      </c>
      <c r="Q17" s="22">
        <f t="shared" si="1"/>
        <v>19.84264286</v>
      </c>
      <c r="R17" s="22">
        <f t="shared" si="1"/>
        <v>17.35685714</v>
      </c>
    </row>
    <row r="18">
      <c r="A18" s="20" t="s">
        <v>11</v>
      </c>
      <c r="B18" s="21"/>
      <c r="C18" s="22">
        <f t="shared" ref="C18:R18" si="2">_xlfn.STDEV.P(C4:C16)</f>
        <v>6.350043566</v>
      </c>
      <c r="D18" s="22">
        <f t="shared" si="2"/>
        <v>9.450488564</v>
      </c>
      <c r="E18" s="22">
        <f t="shared" si="2"/>
        <v>8.680217043</v>
      </c>
      <c r="F18" s="22">
        <f t="shared" si="2"/>
        <v>6.519598553</v>
      </c>
      <c r="G18" s="22">
        <f t="shared" si="2"/>
        <v>5.590158649</v>
      </c>
      <c r="H18" s="22">
        <f t="shared" si="2"/>
        <v>9.011848168</v>
      </c>
      <c r="I18" s="22">
        <f t="shared" si="2"/>
        <v>7.548194421</v>
      </c>
      <c r="J18" s="22">
        <f t="shared" si="2"/>
        <v>6.032245487</v>
      </c>
      <c r="K18" s="22">
        <f t="shared" si="2"/>
        <v>5.878308044</v>
      </c>
      <c r="L18" s="22">
        <f t="shared" si="2"/>
        <v>7.576709676</v>
      </c>
      <c r="M18" s="22">
        <f t="shared" si="2"/>
        <v>7.193339293</v>
      </c>
      <c r="N18" s="22">
        <f t="shared" si="2"/>
        <v>6.242960337</v>
      </c>
      <c r="O18" s="22">
        <f t="shared" si="2"/>
        <v>5.564213241</v>
      </c>
      <c r="P18" s="22">
        <f t="shared" si="2"/>
        <v>7.568793768</v>
      </c>
      <c r="Q18" s="22">
        <f t="shared" si="2"/>
        <v>6.521242477</v>
      </c>
      <c r="R18" s="22">
        <f t="shared" si="2"/>
        <v>5.753703779</v>
      </c>
    </row>
    <row r="22">
      <c r="H22" s="23"/>
    </row>
    <row r="27">
      <c r="I27" s="1"/>
      <c r="U27" s="1"/>
    </row>
    <row r="28">
      <c r="I28" s="1"/>
      <c r="U28" s="1"/>
    </row>
    <row r="29">
      <c r="I29" s="1"/>
      <c r="U29" s="1"/>
    </row>
    <row r="30">
      <c r="I30" s="1"/>
      <c r="U30" s="1"/>
    </row>
  </sheetData>
  <mergeCells count="6">
    <mergeCell ref="C1:F1"/>
    <mergeCell ref="G1:J1"/>
    <mergeCell ref="K1:N1"/>
    <mergeCell ref="O1:R1"/>
    <mergeCell ref="A17:B17"/>
    <mergeCell ref="A18:B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12</v>
      </c>
      <c r="F1" s="3"/>
      <c r="G1" s="2" t="s">
        <v>13</v>
      </c>
      <c r="J1" s="3"/>
      <c r="K1" s="2" t="s">
        <v>14</v>
      </c>
      <c r="N1" s="3"/>
      <c r="O1" s="2" t="s">
        <v>15</v>
      </c>
      <c r="R1" s="3"/>
    </row>
    <row r="2">
      <c r="A2" s="5" t="s">
        <v>4</v>
      </c>
      <c r="B2" s="6" t="s">
        <v>5</v>
      </c>
      <c r="C2" s="7" t="s">
        <v>6</v>
      </c>
      <c r="D2" s="8" t="s">
        <v>7</v>
      </c>
      <c r="E2" s="9" t="s">
        <v>8</v>
      </c>
      <c r="F2" s="10" t="s">
        <v>9</v>
      </c>
      <c r="G2" s="7" t="s">
        <v>6</v>
      </c>
      <c r="H2" s="8" t="s">
        <v>7</v>
      </c>
      <c r="I2" s="9" t="s">
        <v>8</v>
      </c>
      <c r="J2" s="10" t="s">
        <v>9</v>
      </c>
      <c r="K2" s="7" t="s">
        <v>6</v>
      </c>
      <c r="L2" s="8" t="s">
        <v>7</v>
      </c>
      <c r="M2" s="9" t="s">
        <v>8</v>
      </c>
      <c r="N2" s="10" t="s">
        <v>9</v>
      </c>
      <c r="O2" s="7" t="s">
        <v>6</v>
      </c>
      <c r="P2" s="8" t="s">
        <v>7</v>
      </c>
      <c r="Q2" s="9" t="s">
        <v>8</v>
      </c>
      <c r="R2" s="10" t="s">
        <v>9</v>
      </c>
    </row>
    <row r="3">
      <c r="A3" s="11">
        <v>1.0</v>
      </c>
      <c r="B3" s="12">
        <v>9003.0</v>
      </c>
      <c r="C3" s="13">
        <v>27.952</v>
      </c>
      <c r="D3" s="14">
        <v>36.238</v>
      </c>
      <c r="E3" s="14">
        <v>34.245</v>
      </c>
      <c r="F3" s="15">
        <v>31.004</v>
      </c>
      <c r="G3" s="13">
        <v>23.713</v>
      </c>
      <c r="H3" s="14">
        <v>33.62</v>
      </c>
      <c r="I3" s="14">
        <v>30.24</v>
      </c>
      <c r="J3" s="15">
        <v>25.778</v>
      </c>
      <c r="K3" s="13">
        <v>23.087</v>
      </c>
      <c r="L3" s="14">
        <v>32.745</v>
      </c>
      <c r="M3" s="14">
        <v>31.375</v>
      </c>
      <c r="N3" s="15">
        <v>26.398</v>
      </c>
      <c r="O3" s="13">
        <v>22.916</v>
      </c>
      <c r="P3" s="14">
        <v>32.736</v>
      </c>
      <c r="Q3" s="14">
        <v>28.861</v>
      </c>
      <c r="R3" s="15">
        <v>24.727</v>
      </c>
    </row>
    <row r="4">
      <c r="A4" s="11">
        <v>3.0</v>
      </c>
      <c r="B4" s="19">
        <v>16313.0</v>
      </c>
      <c r="C4" s="13">
        <v>27.629</v>
      </c>
      <c r="D4" s="14">
        <v>33.093</v>
      </c>
      <c r="E4" s="14">
        <v>32.228</v>
      </c>
      <c r="F4" s="15">
        <v>28.769</v>
      </c>
      <c r="G4" s="13">
        <v>24.545</v>
      </c>
      <c r="H4" s="14">
        <v>32.748</v>
      </c>
      <c r="I4" s="14">
        <v>29.067</v>
      </c>
      <c r="J4" s="15">
        <v>25.915</v>
      </c>
      <c r="K4" s="13">
        <v>23.841</v>
      </c>
      <c r="L4" s="14">
        <v>30.483</v>
      </c>
      <c r="M4" s="14">
        <v>26.823</v>
      </c>
      <c r="N4" s="15">
        <v>26.653</v>
      </c>
      <c r="O4" s="13">
        <v>23.422</v>
      </c>
      <c r="P4" s="14">
        <v>30.408</v>
      </c>
      <c r="Q4" s="14">
        <v>27.61</v>
      </c>
      <c r="R4" s="15">
        <v>26.646</v>
      </c>
    </row>
    <row r="5">
      <c r="A5" s="11">
        <v>4.0</v>
      </c>
      <c r="B5" s="19">
        <v>3040.0</v>
      </c>
      <c r="C5" s="13">
        <v>22.278</v>
      </c>
      <c r="D5" s="14">
        <v>29.939</v>
      </c>
      <c r="E5" s="14">
        <v>29.443</v>
      </c>
      <c r="F5" s="15">
        <v>25.872</v>
      </c>
      <c r="G5" s="13">
        <v>16.793</v>
      </c>
      <c r="H5" s="14">
        <v>28.857</v>
      </c>
      <c r="I5" s="14">
        <v>26.059</v>
      </c>
      <c r="J5" s="15">
        <v>21.193</v>
      </c>
      <c r="K5" s="13">
        <v>14.714</v>
      </c>
      <c r="L5" s="14">
        <v>26.561</v>
      </c>
      <c r="M5" s="14">
        <v>24.88</v>
      </c>
      <c r="N5" s="15">
        <v>18.519</v>
      </c>
      <c r="O5" s="13">
        <v>14.488</v>
      </c>
      <c r="P5" s="14">
        <v>26.59</v>
      </c>
      <c r="Q5" s="14">
        <v>23.895</v>
      </c>
      <c r="R5" s="15">
        <v>17.839</v>
      </c>
    </row>
    <row r="6">
      <c r="A6" s="11">
        <v>5.0</v>
      </c>
      <c r="B6" s="19">
        <v>8753.0</v>
      </c>
      <c r="C6" s="13">
        <v>32.263</v>
      </c>
      <c r="D6" s="14">
        <v>52.632</v>
      </c>
      <c r="E6" s="14">
        <v>50.587</v>
      </c>
      <c r="F6" s="15">
        <v>35.798</v>
      </c>
      <c r="G6" s="13">
        <v>29.049</v>
      </c>
      <c r="H6" s="14">
        <v>52.908</v>
      </c>
      <c r="I6" s="14">
        <v>45.059</v>
      </c>
      <c r="J6" s="15">
        <v>34.236</v>
      </c>
      <c r="K6" s="13">
        <v>28.749</v>
      </c>
      <c r="L6" s="14">
        <v>48.425</v>
      </c>
      <c r="M6" s="14">
        <v>45.991</v>
      </c>
      <c r="N6" s="15">
        <v>38.759</v>
      </c>
      <c r="O6" s="13">
        <v>27.697</v>
      </c>
      <c r="P6" s="14">
        <v>48.765</v>
      </c>
      <c r="Q6" s="14">
        <v>40.238</v>
      </c>
      <c r="R6" s="15">
        <v>32.03</v>
      </c>
    </row>
    <row r="7">
      <c r="A7" s="11">
        <v>6.0</v>
      </c>
      <c r="B7" s="19">
        <v>8608.0</v>
      </c>
      <c r="C7" s="13">
        <v>13.554</v>
      </c>
      <c r="D7" s="14">
        <v>22.102</v>
      </c>
      <c r="E7" s="14">
        <v>21.91</v>
      </c>
      <c r="F7" s="15">
        <v>15.918</v>
      </c>
      <c r="G7" s="13">
        <v>12.462</v>
      </c>
      <c r="H7" s="14">
        <v>22.095</v>
      </c>
      <c r="I7" s="14">
        <v>20.275</v>
      </c>
      <c r="J7" s="15">
        <v>13.52</v>
      </c>
      <c r="K7" s="13">
        <v>10.593</v>
      </c>
      <c r="L7" s="14">
        <v>18.898</v>
      </c>
      <c r="M7" s="14">
        <v>18.44</v>
      </c>
      <c r="N7" s="15">
        <v>13.791</v>
      </c>
      <c r="O7" s="13">
        <v>10.408</v>
      </c>
      <c r="P7" s="14">
        <v>18.814</v>
      </c>
      <c r="Q7" s="14">
        <v>16.089</v>
      </c>
      <c r="R7" s="15">
        <v>13.135</v>
      </c>
    </row>
    <row r="8">
      <c r="A8" s="11">
        <v>7.0</v>
      </c>
      <c r="B8" s="19">
        <v>8524.0</v>
      </c>
      <c r="C8" s="13">
        <v>14.72</v>
      </c>
      <c r="D8" s="14">
        <v>21.885</v>
      </c>
      <c r="E8" s="14">
        <v>18.287</v>
      </c>
      <c r="F8" s="15">
        <v>17.301</v>
      </c>
      <c r="G8" s="13">
        <v>12.249</v>
      </c>
      <c r="H8" s="14">
        <v>20.677</v>
      </c>
      <c r="I8" s="14">
        <v>17.469</v>
      </c>
      <c r="J8" s="15">
        <v>14.161</v>
      </c>
      <c r="K8" s="13">
        <v>11.509</v>
      </c>
      <c r="L8" s="14">
        <v>18.483</v>
      </c>
      <c r="M8" s="14">
        <v>16.483</v>
      </c>
      <c r="N8" s="15">
        <v>13.551</v>
      </c>
      <c r="O8" s="13">
        <v>11.265</v>
      </c>
      <c r="P8" s="14">
        <v>18.201</v>
      </c>
      <c r="Q8" s="14">
        <v>15.897</v>
      </c>
      <c r="R8" s="15">
        <v>13.227</v>
      </c>
    </row>
    <row r="9">
      <c r="A9" s="11">
        <v>8.0</v>
      </c>
      <c r="B9" s="19">
        <v>9080.0</v>
      </c>
      <c r="C9" s="13">
        <v>14.427</v>
      </c>
      <c r="D9" s="14">
        <v>25.415</v>
      </c>
      <c r="E9" s="14">
        <v>19.905</v>
      </c>
      <c r="F9" s="15">
        <v>15.022</v>
      </c>
      <c r="G9" s="13">
        <v>11.961</v>
      </c>
      <c r="H9" s="14">
        <v>24.622</v>
      </c>
      <c r="I9" s="14">
        <v>16.63</v>
      </c>
      <c r="J9" s="15">
        <v>13.08</v>
      </c>
      <c r="K9" s="13">
        <v>11.185</v>
      </c>
      <c r="L9" s="14">
        <v>17.844</v>
      </c>
      <c r="M9" s="14">
        <v>15.253</v>
      </c>
      <c r="N9" s="15">
        <v>14.293</v>
      </c>
      <c r="O9" s="13">
        <v>10.923</v>
      </c>
      <c r="P9" s="14">
        <v>17.844</v>
      </c>
      <c r="Q9" s="14">
        <v>14.575</v>
      </c>
      <c r="R9" s="15">
        <v>14.706</v>
      </c>
    </row>
    <row r="10">
      <c r="A10" s="11">
        <v>9.0</v>
      </c>
      <c r="B10" s="19">
        <v>15938.0</v>
      </c>
      <c r="C10" s="13">
        <v>18.441</v>
      </c>
      <c r="D10" s="14">
        <v>28.806</v>
      </c>
      <c r="E10" s="14">
        <v>21.011</v>
      </c>
      <c r="F10" s="15">
        <v>18.965</v>
      </c>
      <c r="G10" s="13">
        <v>16.08</v>
      </c>
      <c r="H10" s="14">
        <v>27.103</v>
      </c>
      <c r="I10" s="14">
        <v>22.257</v>
      </c>
      <c r="J10" s="15">
        <v>16.226</v>
      </c>
      <c r="K10" s="13">
        <v>15.216</v>
      </c>
      <c r="L10" s="14">
        <v>22.278</v>
      </c>
      <c r="M10" s="14">
        <v>20.226</v>
      </c>
      <c r="N10" s="15">
        <v>17.831</v>
      </c>
      <c r="O10" s="13">
        <v>15.122</v>
      </c>
      <c r="P10" s="14">
        <v>22.361</v>
      </c>
      <c r="Q10" s="14">
        <v>18.82</v>
      </c>
      <c r="R10" s="15">
        <v>17.119</v>
      </c>
    </row>
    <row r="11">
      <c r="A11" s="11">
        <v>10.0</v>
      </c>
      <c r="B11" s="19">
        <v>6264.0</v>
      </c>
      <c r="C11" s="13">
        <v>19.06</v>
      </c>
      <c r="D11" s="14">
        <v>34.258</v>
      </c>
      <c r="E11" s="14">
        <v>30.296</v>
      </c>
      <c r="F11" s="15">
        <v>22.778</v>
      </c>
      <c r="G11" s="13">
        <v>14.76</v>
      </c>
      <c r="H11" s="14">
        <v>31.044</v>
      </c>
      <c r="I11" s="14">
        <v>26.497</v>
      </c>
      <c r="J11" s="15">
        <v>16.44</v>
      </c>
      <c r="K11" s="13">
        <v>13.889</v>
      </c>
      <c r="L11" s="14">
        <v>24.749</v>
      </c>
      <c r="M11" s="14">
        <v>23.863</v>
      </c>
      <c r="N11" s="15">
        <v>19.129</v>
      </c>
      <c r="O11" s="13">
        <v>13.449</v>
      </c>
      <c r="P11" s="14">
        <v>23.822</v>
      </c>
      <c r="Q11" s="14">
        <v>22.586</v>
      </c>
      <c r="R11" s="15">
        <v>17.531</v>
      </c>
    </row>
    <row r="12">
      <c r="A12" s="11">
        <v>11.0</v>
      </c>
      <c r="B12" s="19">
        <v>8572.0</v>
      </c>
      <c r="C12" s="13">
        <v>26.107</v>
      </c>
      <c r="D12" s="14">
        <v>35.592</v>
      </c>
      <c r="E12" s="14">
        <v>30.454</v>
      </c>
      <c r="F12" s="15">
        <v>27.188</v>
      </c>
      <c r="G12" s="13">
        <v>21.958</v>
      </c>
      <c r="H12" s="14">
        <v>30.514</v>
      </c>
      <c r="I12" s="14">
        <v>28.721</v>
      </c>
      <c r="J12" s="15">
        <v>24.088</v>
      </c>
      <c r="K12" s="13">
        <v>21.016</v>
      </c>
      <c r="L12" s="14">
        <v>29.838</v>
      </c>
      <c r="M12" s="14">
        <v>28.054</v>
      </c>
      <c r="N12" s="15">
        <v>25.75</v>
      </c>
      <c r="O12" s="13">
        <v>20.628</v>
      </c>
      <c r="P12" s="14">
        <v>29.74</v>
      </c>
      <c r="Q12" s="14">
        <v>26.954</v>
      </c>
      <c r="R12" s="15">
        <v>21.726</v>
      </c>
    </row>
    <row r="13">
      <c r="A13" s="11">
        <v>12.0</v>
      </c>
      <c r="B13" s="19">
        <v>3312.0</v>
      </c>
      <c r="C13" s="13">
        <v>16.585</v>
      </c>
      <c r="D13" s="14">
        <v>27.05</v>
      </c>
      <c r="E13" s="14">
        <v>26.332</v>
      </c>
      <c r="F13" s="15">
        <v>19.26</v>
      </c>
      <c r="G13" s="13">
        <v>9.879</v>
      </c>
      <c r="H13" s="14">
        <v>25.569</v>
      </c>
      <c r="I13" s="14">
        <v>22.037</v>
      </c>
      <c r="J13" s="15">
        <v>13.474</v>
      </c>
      <c r="K13" s="13">
        <v>8.253</v>
      </c>
      <c r="L13" s="14">
        <v>24.601</v>
      </c>
      <c r="M13" s="14">
        <v>20.132</v>
      </c>
      <c r="N13" s="15">
        <v>12.895</v>
      </c>
      <c r="O13" s="13">
        <v>8.092</v>
      </c>
      <c r="P13" s="14">
        <v>23.657</v>
      </c>
      <c r="Q13" s="14">
        <v>19.176</v>
      </c>
      <c r="R13" s="15">
        <v>11.971</v>
      </c>
    </row>
    <row r="14">
      <c r="A14" s="11">
        <v>14.0</v>
      </c>
      <c r="B14" s="19">
        <v>9144.0</v>
      </c>
      <c r="C14" s="13">
        <v>13.837</v>
      </c>
      <c r="D14" s="14">
        <v>21.045</v>
      </c>
      <c r="E14" s="14">
        <v>21.123</v>
      </c>
      <c r="F14" s="15">
        <v>18.649</v>
      </c>
      <c r="G14" s="13">
        <v>11.957</v>
      </c>
      <c r="H14" s="14">
        <v>16.75</v>
      </c>
      <c r="I14" s="14">
        <v>17.983</v>
      </c>
      <c r="J14" s="15">
        <v>16.914</v>
      </c>
      <c r="K14" s="13">
        <v>11.121</v>
      </c>
      <c r="L14" s="14">
        <v>15.957</v>
      </c>
      <c r="M14" s="14">
        <v>16.373</v>
      </c>
      <c r="N14" s="15">
        <v>15.825</v>
      </c>
      <c r="O14" s="13">
        <v>11.339</v>
      </c>
      <c r="P14" s="14">
        <v>17.765</v>
      </c>
      <c r="Q14" s="14">
        <v>15.089</v>
      </c>
      <c r="R14" s="15">
        <v>13.24</v>
      </c>
    </row>
    <row r="15">
      <c r="A15" s="11">
        <v>15.0</v>
      </c>
      <c r="B15" s="19">
        <v>8566.0</v>
      </c>
      <c r="C15" s="13">
        <v>13.012</v>
      </c>
      <c r="D15" s="14">
        <v>14.203</v>
      </c>
      <c r="E15" s="14">
        <v>15.972</v>
      </c>
      <c r="F15" s="15">
        <v>13.572</v>
      </c>
      <c r="G15" s="13">
        <v>9.653</v>
      </c>
      <c r="H15" s="14">
        <v>15.394</v>
      </c>
      <c r="I15" s="14">
        <v>13.728</v>
      </c>
      <c r="J15" s="15">
        <v>11.108</v>
      </c>
      <c r="K15" s="13">
        <v>9.18</v>
      </c>
      <c r="L15" s="14">
        <v>14.597</v>
      </c>
      <c r="M15" s="14">
        <v>12.109</v>
      </c>
      <c r="N15" s="15">
        <v>13.655</v>
      </c>
      <c r="O15" s="13">
        <v>8.886</v>
      </c>
      <c r="P15" s="14">
        <v>14.669</v>
      </c>
      <c r="Q15" s="14">
        <v>13.414</v>
      </c>
      <c r="R15" s="15">
        <v>14.043</v>
      </c>
    </row>
    <row r="16">
      <c r="A16" s="11">
        <v>17.0</v>
      </c>
      <c r="B16" s="19">
        <v>9112.0</v>
      </c>
      <c r="C16" s="13">
        <v>12.35</v>
      </c>
      <c r="D16" s="14">
        <v>17.377</v>
      </c>
      <c r="E16" s="14">
        <v>18.212</v>
      </c>
      <c r="F16" s="15">
        <v>14.853</v>
      </c>
      <c r="G16" s="13">
        <v>8.395</v>
      </c>
      <c r="H16" s="14">
        <v>13.399</v>
      </c>
      <c r="I16" s="14">
        <v>12.034</v>
      </c>
      <c r="J16" s="15">
        <v>10.638</v>
      </c>
      <c r="K16" s="13">
        <v>10.731</v>
      </c>
      <c r="L16" s="14">
        <v>17.262</v>
      </c>
      <c r="M16" s="14">
        <v>15.953</v>
      </c>
      <c r="N16" s="15">
        <v>11.496</v>
      </c>
      <c r="O16" s="13">
        <v>9.584</v>
      </c>
      <c r="P16" s="14">
        <v>15.592</v>
      </c>
      <c r="Q16" s="14">
        <v>13.904</v>
      </c>
      <c r="R16" s="15">
        <v>12.589</v>
      </c>
    </row>
    <row r="17">
      <c r="A17" s="20" t="s">
        <v>10</v>
      </c>
      <c r="B17" s="21"/>
      <c r="C17" s="22">
        <f t="shared" ref="C17:R17" si="1">AVERAGE(C3:C16)</f>
        <v>19.44392857</v>
      </c>
      <c r="D17" s="22">
        <f t="shared" si="1"/>
        <v>28.54535714</v>
      </c>
      <c r="E17" s="22">
        <f t="shared" si="1"/>
        <v>26.42892857</v>
      </c>
      <c r="F17" s="22">
        <f t="shared" si="1"/>
        <v>21.78207143</v>
      </c>
      <c r="G17" s="22">
        <f t="shared" si="1"/>
        <v>15.961</v>
      </c>
      <c r="H17" s="22">
        <f t="shared" si="1"/>
        <v>26.80714286</v>
      </c>
      <c r="I17" s="22">
        <f t="shared" si="1"/>
        <v>23.43257143</v>
      </c>
      <c r="J17" s="22">
        <f t="shared" si="1"/>
        <v>18.34078571</v>
      </c>
      <c r="K17" s="22">
        <f t="shared" si="1"/>
        <v>15.22028571</v>
      </c>
      <c r="L17" s="22">
        <f t="shared" si="1"/>
        <v>24.48007143</v>
      </c>
      <c r="M17" s="22">
        <f t="shared" si="1"/>
        <v>22.56821429</v>
      </c>
      <c r="N17" s="22">
        <f t="shared" si="1"/>
        <v>19.18178571</v>
      </c>
      <c r="O17" s="22">
        <f t="shared" si="1"/>
        <v>14.87278571</v>
      </c>
      <c r="P17" s="22">
        <f t="shared" si="1"/>
        <v>24.35457143</v>
      </c>
      <c r="Q17" s="22">
        <f t="shared" si="1"/>
        <v>21.222</v>
      </c>
      <c r="R17" s="22">
        <f t="shared" si="1"/>
        <v>17.89492857</v>
      </c>
    </row>
    <row r="18">
      <c r="A18" s="20" t="s">
        <v>11</v>
      </c>
      <c r="B18" s="21"/>
      <c r="C18" s="22">
        <f t="shared" ref="C18:R18" si="2">_xlfn.STDEV.P(C4:C16)</f>
        <v>6.157037645</v>
      </c>
      <c r="D18" s="22">
        <f t="shared" si="2"/>
        <v>9.467345518</v>
      </c>
      <c r="E18" s="22">
        <f t="shared" si="2"/>
        <v>8.842368551</v>
      </c>
      <c r="F18" s="22">
        <f t="shared" si="2"/>
        <v>6.357074259</v>
      </c>
      <c r="G18" s="22">
        <f t="shared" si="2"/>
        <v>6.016329847</v>
      </c>
      <c r="H18" s="22">
        <f t="shared" si="2"/>
        <v>9.712142958</v>
      </c>
      <c r="I18" s="22">
        <f t="shared" si="2"/>
        <v>8.269888842</v>
      </c>
      <c r="J18" s="22">
        <f t="shared" si="2"/>
        <v>6.567850303</v>
      </c>
      <c r="K18" s="22">
        <f t="shared" si="2"/>
        <v>5.959196459</v>
      </c>
      <c r="L18" s="22">
        <f t="shared" si="2"/>
        <v>8.663336428</v>
      </c>
      <c r="M18" s="22">
        <f t="shared" si="2"/>
        <v>8.359338418</v>
      </c>
      <c r="N18" s="22">
        <f t="shared" si="2"/>
        <v>7.367097919</v>
      </c>
      <c r="O18" s="22">
        <f t="shared" si="2"/>
        <v>5.809566017</v>
      </c>
      <c r="P18" s="22">
        <f t="shared" si="2"/>
        <v>8.730235549</v>
      </c>
      <c r="Q18" s="22">
        <f t="shared" si="2"/>
        <v>7.341979271</v>
      </c>
      <c r="R18" s="22">
        <f t="shared" si="2"/>
        <v>5.834729913</v>
      </c>
    </row>
  </sheetData>
  <mergeCells count="6">
    <mergeCell ref="C1:F1"/>
    <mergeCell ref="G1:J1"/>
    <mergeCell ref="K1:N1"/>
    <mergeCell ref="O1:R1"/>
    <mergeCell ref="A17:B17"/>
    <mergeCell ref="A18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16</v>
      </c>
      <c r="F1" s="3"/>
      <c r="G1" s="2" t="s">
        <v>17</v>
      </c>
      <c r="J1" s="3"/>
      <c r="K1" s="2" t="s">
        <v>18</v>
      </c>
      <c r="N1" s="3"/>
      <c r="O1" s="2" t="s">
        <v>19</v>
      </c>
      <c r="R1" s="3"/>
    </row>
    <row r="2">
      <c r="A2" s="5" t="s">
        <v>4</v>
      </c>
      <c r="B2" s="6" t="s">
        <v>5</v>
      </c>
      <c r="C2" s="7" t="s">
        <v>6</v>
      </c>
      <c r="D2" s="8" t="s">
        <v>7</v>
      </c>
      <c r="E2" s="9" t="s">
        <v>8</v>
      </c>
      <c r="F2" s="10" t="s">
        <v>9</v>
      </c>
      <c r="G2" s="7" t="s">
        <v>6</v>
      </c>
      <c r="H2" s="8" t="s">
        <v>7</v>
      </c>
      <c r="I2" s="9" t="s">
        <v>8</v>
      </c>
      <c r="J2" s="10" t="s">
        <v>9</v>
      </c>
      <c r="K2" s="7" t="s">
        <v>6</v>
      </c>
      <c r="L2" s="8" t="s">
        <v>7</v>
      </c>
      <c r="M2" s="9" t="s">
        <v>8</v>
      </c>
      <c r="N2" s="10" t="s">
        <v>9</v>
      </c>
      <c r="O2" s="7" t="s">
        <v>6</v>
      </c>
      <c r="P2" s="8" t="s">
        <v>7</v>
      </c>
      <c r="Q2" s="9" t="s">
        <v>8</v>
      </c>
      <c r="R2" s="10" t="s">
        <v>9</v>
      </c>
    </row>
    <row r="3">
      <c r="A3" s="11">
        <v>1.0</v>
      </c>
      <c r="B3" s="12">
        <v>9003.0</v>
      </c>
      <c r="C3" s="13">
        <v>27.999</v>
      </c>
      <c r="D3" s="14">
        <v>32.125</v>
      </c>
      <c r="E3" s="14">
        <v>33.269</v>
      </c>
      <c r="F3" s="15">
        <v>32.149</v>
      </c>
      <c r="G3" s="13">
        <v>23.867</v>
      </c>
      <c r="H3" s="14">
        <v>29.078</v>
      </c>
      <c r="I3" s="14">
        <v>30.52</v>
      </c>
      <c r="J3" s="15">
        <v>29.748</v>
      </c>
      <c r="K3" s="13">
        <v>23.113</v>
      </c>
      <c r="L3" s="14">
        <v>28.287</v>
      </c>
      <c r="M3" s="14">
        <v>28.293</v>
      </c>
      <c r="N3" s="15">
        <v>27.611</v>
      </c>
      <c r="O3" s="13">
        <v>22.071</v>
      </c>
      <c r="P3" s="14">
        <v>27.579</v>
      </c>
      <c r="Q3" s="14">
        <v>27.779</v>
      </c>
      <c r="R3" s="15">
        <v>26.881</v>
      </c>
    </row>
    <row r="4">
      <c r="A4" s="11">
        <v>3.0</v>
      </c>
      <c r="B4" s="19">
        <v>16313.0</v>
      </c>
      <c r="C4" s="13">
        <v>27.436</v>
      </c>
      <c r="D4" s="14">
        <v>30.312</v>
      </c>
      <c r="E4" s="14">
        <v>31.081</v>
      </c>
      <c r="F4" s="15">
        <v>30.639</v>
      </c>
      <c r="G4" s="13">
        <v>24.507</v>
      </c>
      <c r="H4" s="14">
        <v>28.658</v>
      </c>
      <c r="I4" s="14">
        <v>28.891</v>
      </c>
      <c r="J4" s="15">
        <v>28.359</v>
      </c>
      <c r="K4" s="13">
        <v>24.129</v>
      </c>
      <c r="L4" s="14">
        <v>27.893</v>
      </c>
      <c r="M4" s="14">
        <v>28.076</v>
      </c>
      <c r="N4" s="15">
        <v>28.08</v>
      </c>
      <c r="O4" s="13">
        <v>23.772</v>
      </c>
      <c r="P4" s="14">
        <v>27.669</v>
      </c>
      <c r="Q4" s="14">
        <v>28.309</v>
      </c>
      <c r="R4" s="15">
        <v>28.268</v>
      </c>
    </row>
    <row r="5">
      <c r="A5" s="11">
        <v>4.0</v>
      </c>
      <c r="B5" s="19">
        <v>3040.0</v>
      </c>
      <c r="C5" s="13">
        <v>19.935</v>
      </c>
      <c r="D5" s="14">
        <v>29.486</v>
      </c>
      <c r="E5" s="14">
        <v>29.562</v>
      </c>
      <c r="F5" s="15">
        <v>22.026</v>
      </c>
      <c r="G5" s="13">
        <v>12.398</v>
      </c>
      <c r="H5" s="14">
        <v>27.065</v>
      </c>
      <c r="I5" s="14">
        <v>24.598</v>
      </c>
      <c r="J5" s="15">
        <v>18.65</v>
      </c>
      <c r="K5" s="13">
        <v>11.691</v>
      </c>
      <c r="L5" s="14">
        <v>26.112</v>
      </c>
      <c r="M5" s="14">
        <v>25.785</v>
      </c>
      <c r="N5" s="15">
        <v>17.363</v>
      </c>
      <c r="O5" s="13">
        <v>11.178</v>
      </c>
      <c r="P5" s="14">
        <v>25.373</v>
      </c>
      <c r="Q5" s="14">
        <v>23.91</v>
      </c>
      <c r="R5" s="15">
        <v>15.865</v>
      </c>
    </row>
    <row r="6">
      <c r="A6" s="11">
        <v>5.0</v>
      </c>
      <c r="B6" s="19">
        <v>8753.0</v>
      </c>
      <c r="C6" s="13">
        <v>33.203</v>
      </c>
      <c r="D6" s="14">
        <v>45.61</v>
      </c>
      <c r="E6" s="14">
        <v>48.179</v>
      </c>
      <c r="F6" s="15">
        <v>45.977</v>
      </c>
      <c r="G6" s="13">
        <v>28.688</v>
      </c>
      <c r="H6" s="14">
        <v>42.22</v>
      </c>
      <c r="I6" s="14">
        <v>44.204</v>
      </c>
      <c r="J6" s="15">
        <v>41.512</v>
      </c>
      <c r="K6" s="13">
        <v>28.692</v>
      </c>
      <c r="L6" s="14">
        <v>42.212</v>
      </c>
      <c r="M6" s="14">
        <v>44.827</v>
      </c>
      <c r="N6" s="15">
        <v>43.315</v>
      </c>
      <c r="O6" s="13">
        <v>27.438</v>
      </c>
      <c r="P6" s="14">
        <v>40.621</v>
      </c>
      <c r="Q6" s="14">
        <v>41.791</v>
      </c>
      <c r="R6" s="15">
        <v>39.726</v>
      </c>
    </row>
    <row r="7">
      <c r="A7" s="11">
        <v>6.0</v>
      </c>
      <c r="B7" s="19">
        <v>8608.0</v>
      </c>
      <c r="C7" s="13">
        <v>14.943</v>
      </c>
      <c r="D7" s="14">
        <v>21.981</v>
      </c>
      <c r="E7" s="14">
        <v>22.469</v>
      </c>
      <c r="F7" s="15">
        <v>16.363</v>
      </c>
      <c r="G7" s="13">
        <v>14.511</v>
      </c>
      <c r="H7" s="14">
        <v>21.195</v>
      </c>
      <c r="I7" s="14">
        <v>19.506</v>
      </c>
      <c r="J7" s="15">
        <v>12.46</v>
      </c>
      <c r="K7" s="13">
        <v>14.066</v>
      </c>
      <c r="L7" s="14">
        <v>21.395</v>
      </c>
      <c r="M7" s="14">
        <v>19.37</v>
      </c>
      <c r="N7" s="15">
        <v>19.085</v>
      </c>
      <c r="O7" s="13">
        <v>13.963</v>
      </c>
      <c r="P7" s="14">
        <v>21.447</v>
      </c>
      <c r="Q7" s="14">
        <v>16.569</v>
      </c>
      <c r="R7" s="15">
        <v>17.442</v>
      </c>
    </row>
    <row r="8">
      <c r="A8" s="11">
        <v>7.0</v>
      </c>
      <c r="B8" s="19">
        <v>8524.0</v>
      </c>
      <c r="C8" s="13">
        <v>22.188</v>
      </c>
      <c r="D8" s="14">
        <v>19.279</v>
      </c>
      <c r="E8" s="14">
        <v>18.465</v>
      </c>
      <c r="F8" s="15">
        <v>17.405</v>
      </c>
      <c r="G8" s="13">
        <v>10.854</v>
      </c>
      <c r="H8" s="14">
        <v>15.592</v>
      </c>
      <c r="I8" s="14">
        <v>16.279</v>
      </c>
      <c r="J8" s="15">
        <v>15.585</v>
      </c>
      <c r="K8" s="13">
        <v>10.06</v>
      </c>
      <c r="L8" s="14">
        <v>14.187</v>
      </c>
      <c r="M8" s="14">
        <v>14.616</v>
      </c>
      <c r="N8" s="15">
        <v>13.922</v>
      </c>
      <c r="O8" s="13">
        <v>14.987</v>
      </c>
      <c r="P8" s="14">
        <v>13.554</v>
      </c>
      <c r="Q8" s="14">
        <v>15.348</v>
      </c>
      <c r="R8" s="15">
        <v>14.138</v>
      </c>
    </row>
    <row r="9">
      <c r="A9" s="11">
        <v>8.0</v>
      </c>
      <c r="B9" s="19">
        <v>9080.0</v>
      </c>
      <c r="C9" s="13">
        <v>19.514</v>
      </c>
      <c r="D9" s="14">
        <v>21.543</v>
      </c>
      <c r="E9" s="14">
        <v>22.874</v>
      </c>
      <c r="F9" s="15">
        <v>19.264</v>
      </c>
      <c r="G9" s="13">
        <v>25.365</v>
      </c>
      <c r="H9" s="14">
        <v>18.562</v>
      </c>
      <c r="I9" s="14">
        <v>18.261</v>
      </c>
      <c r="J9" s="15">
        <v>17.264</v>
      </c>
      <c r="K9" s="13">
        <v>16.367</v>
      </c>
      <c r="L9" s="14">
        <v>12.957</v>
      </c>
      <c r="M9" s="14">
        <v>13.363</v>
      </c>
      <c r="N9" s="15">
        <v>13.015</v>
      </c>
      <c r="O9" s="13">
        <v>15.409</v>
      </c>
      <c r="P9" s="14">
        <v>16.864</v>
      </c>
      <c r="Q9" s="14">
        <v>16.042</v>
      </c>
      <c r="R9" s="15">
        <v>15.319</v>
      </c>
    </row>
    <row r="10">
      <c r="A10" s="11">
        <v>9.0</v>
      </c>
      <c r="B10" s="19">
        <v>15938.0</v>
      </c>
      <c r="C10" s="13">
        <v>18.799</v>
      </c>
      <c r="D10" s="14">
        <v>27.109</v>
      </c>
      <c r="E10" s="14">
        <v>21.886</v>
      </c>
      <c r="F10" s="15">
        <v>18.627</v>
      </c>
      <c r="G10" s="13">
        <v>27.697</v>
      </c>
      <c r="H10" s="14">
        <v>21.968</v>
      </c>
      <c r="I10" s="14">
        <v>22.006</v>
      </c>
      <c r="J10" s="15">
        <v>20.937</v>
      </c>
      <c r="K10" s="13">
        <v>24.936</v>
      </c>
      <c r="L10" s="14">
        <v>20.326</v>
      </c>
      <c r="M10" s="14">
        <v>20.893</v>
      </c>
      <c r="N10" s="15">
        <v>20.24</v>
      </c>
      <c r="O10" s="13">
        <v>19.53</v>
      </c>
      <c r="P10" s="14">
        <v>21.088</v>
      </c>
      <c r="Q10" s="14">
        <v>20.974</v>
      </c>
      <c r="R10" s="15">
        <v>19.149</v>
      </c>
    </row>
    <row r="11">
      <c r="A11" s="11">
        <v>10.0</v>
      </c>
      <c r="B11" s="19">
        <v>6264.0</v>
      </c>
      <c r="C11" s="13">
        <v>20.579</v>
      </c>
      <c r="D11" s="14">
        <v>34.472</v>
      </c>
      <c r="E11" s="14">
        <v>30.503</v>
      </c>
      <c r="F11" s="15">
        <v>24.022</v>
      </c>
      <c r="G11" s="13">
        <v>19.818</v>
      </c>
      <c r="H11" s="14">
        <v>28.914</v>
      </c>
      <c r="I11" s="14">
        <v>26.239</v>
      </c>
      <c r="J11" s="15">
        <v>18.267</v>
      </c>
      <c r="K11" s="13">
        <v>20.167</v>
      </c>
      <c r="L11" s="14">
        <v>26.987</v>
      </c>
      <c r="M11" s="14">
        <v>24.93</v>
      </c>
      <c r="N11" s="15">
        <v>18.303</v>
      </c>
      <c r="O11" s="13">
        <v>18.897</v>
      </c>
      <c r="P11" s="14">
        <v>23.822</v>
      </c>
      <c r="Q11" s="14">
        <v>23.555</v>
      </c>
      <c r="R11" s="15">
        <v>15.599</v>
      </c>
    </row>
    <row r="12">
      <c r="A12" s="11">
        <v>11.0</v>
      </c>
      <c r="B12" s="19">
        <v>8572.0</v>
      </c>
      <c r="C12" s="13">
        <v>29.108</v>
      </c>
      <c r="D12" s="14">
        <v>40.005</v>
      </c>
      <c r="E12" s="14">
        <v>35.13</v>
      </c>
      <c r="F12" s="15">
        <v>31.753</v>
      </c>
      <c r="G12" s="13">
        <v>28.115</v>
      </c>
      <c r="H12" s="14">
        <v>32.785</v>
      </c>
      <c r="I12" s="14">
        <v>30.455</v>
      </c>
      <c r="J12" s="15">
        <v>23.648</v>
      </c>
      <c r="K12" s="13">
        <v>28.115</v>
      </c>
      <c r="L12" s="14">
        <v>32.785</v>
      </c>
      <c r="M12" s="14">
        <v>30.455</v>
      </c>
      <c r="N12" s="15">
        <v>23.648</v>
      </c>
      <c r="O12" s="16">
        <v>22.22</v>
      </c>
      <c r="P12" s="17">
        <v>34.43</v>
      </c>
      <c r="Q12" s="17">
        <v>30.44</v>
      </c>
      <c r="R12" s="18">
        <v>24.31</v>
      </c>
    </row>
    <row r="13">
      <c r="A13" s="11">
        <v>12.0</v>
      </c>
      <c r="B13" s="19">
        <v>3312.0</v>
      </c>
      <c r="C13" s="13">
        <v>11.316</v>
      </c>
      <c r="D13" s="14">
        <v>19.042</v>
      </c>
      <c r="E13" s="14">
        <v>20.041</v>
      </c>
      <c r="F13" s="15">
        <v>18.464</v>
      </c>
      <c r="G13" s="13">
        <v>6.578</v>
      </c>
      <c r="H13" s="14">
        <v>15.325</v>
      </c>
      <c r="I13" s="14">
        <v>16.233</v>
      </c>
      <c r="J13" s="15">
        <v>15.373</v>
      </c>
      <c r="K13" s="13">
        <v>5.664</v>
      </c>
      <c r="L13" s="14">
        <v>11.31</v>
      </c>
      <c r="M13" s="14">
        <v>11.515</v>
      </c>
      <c r="N13" s="15">
        <v>11.129</v>
      </c>
      <c r="O13" s="13">
        <v>5.408</v>
      </c>
      <c r="P13" s="14">
        <v>11.296</v>
      </c>
      <c r="Q13" s="14">
        <v>11.251</v>
      </c>
      <c r="R13" s="15">
        <v>10.954</v>
      </c>
    </row>
    <row r="14">
      <c r="A14" s="11">
        <v>14.0</v>
      </c>
      <c r="B14" s="19">
        <v>9144.0</v>
      </c>
      <c r="C14" s="13">
        <v>18.819</v>
      </c>
      <c r="D14" s="14">
        <v>20.548</v>
      </c>
      <c r="E14" s="14">
        <v>21.719</v>
      </c>
      <c r="F14" s="15">
        <v>19.611</v>
      </c>
      <c r="G14" s="13">
        <v>10.821</v>
      </c>
      <c r="H14" s="14">
        <v>15.843</v>
      </c>
      <c r="I14" s="14">
        <v>13.129</v>
      </c>
      <c r="J14" s="15">
        <v>12.971</v>
      </c>
      <c r="K14" s="13">
        <v>10.821</v>
      </c>
      <c r="L14" s="14">
        <v>15.843</v>
      </c>
      <c r="M14" s="14">
        <v>13.129</v>
      </c>
      <c r="N14" s="15">
        <v>12.971</v>
      </c>
      <c r="O14" s="13">
        <v>15.132</v>
      </c>
      <c r="P14" s="14">
        <v>16.477</v>
      </c>
      <c r="Q14" s="14">
        <v>15.754</v>
      </c>
      <c r="R14" s="15">
        <v>14.309</v>
      </c>
    </row>
    <row r="15">
      <c r="A15" s="11">
        <v>15.0</v>
      </c>
      <c r="B15" s="19">
        <v>8566.0</v>
      </c>
      <c r="C15" s="13">
        <v>15.334</v>
      </c>
      <c r="D15" s="14">
        <v>15.652</v>
      </c>
      <c r="E15" s="14">
        <v>16.345</v>
      </c>
      <c r="F15" s="15">
        <v>15.675</v>
      </c>
      <c r="G15" s="13">
        <v>11.408</v>
      </c>
      <c r="H15" s="14">
        <v>13.931</v>
      </c>
      <c r="I15" s="14">
        <v>14.982</v>
      </c>
      <c r="J15" s="15">
        <v>14.769</v>
      </c>
      <c r="K15" s="13">
        <v>8.651</v>
      </c>
      <c r="L15" s="14">
        <v>14.126</v>
      </c>
      <c r="M15" s="14">
        <v>12.586</v>
      </c>
      <c r="N15" s="15">
        <v>12.487</v>
      </c>
      <c r="O15" s="13">
        <v>9.893</v>
      </c>
      <c r="P15" s="14">
        <v>13.005</v>
      </c>
      <c r="Q15" s="14">
        <v>12.834</v>
      </c>
      <c r="R15" s="15">
        <v>13.041</v>
      </c>
    </row>
    <row r="16">
      <c r="A16" s="11">
        <v>17.0</v>
      </c>
      <c r="B16" s="19">
        <v>9112.0</v>
      </c>
      <c r="C16" s="13">
        <v>15.985</v>
      </c>
      <c r="D16" s="14">
        <v>17.058</v>
      </c>
      <c r="E16" s="14">
        <v>18.775</v>
      </c>
      <c r="F16" s="15">
        <v>16.642</v>
      </c>
      <c r="G16" s="13">
        <v>9.259</v>
      </c>
      <c r="H16" s="14">
        <v>12.825</v>
      </c>
      <c r="I16" s="14">
        <v>13.543</v>
      </c>
      <c r="J16" s="15">
        <v>12.87</v>
      </c>
      <c r="K16" s="13">
        <v>8.751</v>
      </c>
      <c r="L16" s="14">
        <v>12.156</v>
      </c>
      <c r="M16" s="14">
        <v>12.96</v>
      </c>
      <c r="N16" s="15">
        <v>12.772</v>
      </c>
      <c r="O16" s="13">
        <v>13.991</v>
      </c>
      <c r="P16" s="14">
        <v>15.403</v>
      </c>
      <c r="Q16" s="14">
        <v>15.881</v>
      </c>
      <c r="R16" s="15">
        <v>13.721</v>
      </c>
    </row>
    <row r="17">
      <c r="A17" s="20" t="s">
        <v>10</v>
      </c>
      <c r="B17" s="21"/>
      <c r="C17" s="22">
        <f t="shared" ref="C17:R17" si="1">AVERAGE(C3:C16)</f>
        <v>21.08271429</v>
      </c>
      <c r="D17" s="22">
        <f t="shared" si="1"/>
        <v>26.73014286</v>
      </c>
      <c r="E17" s="22">
        <f t="shared" si="1"/>
        <v>26.44985714</v>
      </c>
      <c r="F17" s="22">
        <f t="shared" si="1"/>
        <v>23.47264286</v>
      </c>
      <c r="G17" s="22">
        <f t="shared" si="1"/>
        <v>18.13471429</v>
      </c>
      <c r="H17" s="22">
        <f t="shared" si="1"/>
        <v>23.14007143</v>
      </c>
      <c r="I17" s="22">
        <f t="shared" si="1"/>
        <v>22.77471429</v>
      </c>
      <c r="J17" s="22">
        <f t="shared" si="1"/>
        <v>20.17235714</v>
      </c>
      <c r="K17" s="22">
        <f t="shared" si="1"/>
        <v>16.80164286</v>
      </c>
      <c r="L17" s="22">
        <f t="shared" si="1"/>
        <v>21.89828571</v>
      </c>
      <c r="M17" s="22">
        <f t="shared" si="1"/>
        <v>21.48557143</v>
      </c>
      <c r="N17" s="22">
        <f t="shared" si="1"/>
        <v>19.56721429</v>
      </c>
      <c r="O17" s="22">
        <f t="shared" si="1"/>
        <v>16.70635714</v>
      </c>
      <c r="P17" s="22">
        <f t="shared" si="1"/>
        <v>22.04485714</v>
      </c>
      <c r="Q17" s="22">
        <f t="shared" si="1"/>
        <v>21.45978571</v>
      </c>
      <c r="R17" s="22">
        <f t="shared" si="1"/>
        <v>19.19442857</v>
      </c>
    </row>
    <row r="18">
      <c r="A18" s="20" t="s">
        <v>11</v>
      </c>
      <c r="B18" s="21"/>
      <c r="C18" s="22">
        <f t="shared" ref="C18:R18" si="2">_xlfn.STDEV.P(C4:C16)</f>
        <v>5.92065236</v>
      </c>
      <c r="D18" s="22">
        <f t="shared" si="2"/>
        <v>8.899086953</v>
      </c>
      <c r="E18" s="22">
        <f t="shared" si="2"/>
        <v>8.454271468</v>
      </c>
      <c r="F18" s="22">
        <f t="shared" si="2"/>
        <v>8.315818514</v>
      </c>
      <c r="G18" s="22">
        <f t="shared" si="2"/>
        <v>7.872684921</v>
      </c>
      <c r="H18" s="22">
        <f t="shared" si="2"/>
        <v>8.422343931</v>
      </c>
      <c r="I18" s="22">
        <f t="shared" si="2"/>
        <v>8.421352024</v>
      </c>
      <c r="J18" s="22">
        <f t="shared" si="2"/>
        <v>7.747743127</v>
      </c>
      <c r="K18" s="22">
        <f t="shared" si="2"/>
        <v>7.685121428</v>
      </c>
      <c r="L18" s="22">
        <f t="shared" si="2"/>
        <v>9.003630044</v>
      </c>
      <c r="M18" s="22">
        <f t="shared" si="2"/>
        <v>9.342283706</v>
      </c>
      <c r="N18" s="22">
        <f t="shared" si="2"/>
        <v>8.508187664</v>
      </c>
      <c r="O18" s="22">
        <f t="shared" si="2"/>
        <v>5.769310989</v>
      </c>
      <c r="P18" s="22">
        <f t="shared" si="2"/>
        <v>8.387517693</v>
      </c>
      <c r="Q18" s="22">
        <f t="shared" si="2"/>
        <v>8.234077543</v>
      </c>
      <c r="R18" s="22">
        <f t="shared" si="2"/>
        <v>7.609539487</v>
      </c>
    </row>
  </sheetData>
  <mergeCells count="6">
    <mergeCell ref="C1:F1"/>
    <mergeCell ref="G1:J1"/>
    <mergeCell ref="K1:N1"/>
    <mergeCell ref="O1:R1"/>
    <mergeCell ref="A17:B17"/>
    <mergeCell ref="A18:B18"/>
  </mergeCells>
  <drawing r:id="rId1"/>
</worksheet>
</file>